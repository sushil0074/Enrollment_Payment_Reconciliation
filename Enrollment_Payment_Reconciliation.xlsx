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nrollments" sheetId="2" state="visible" r:id="rId4"/>
    <sheet name="Payments" sheetId="3" state="visible" r:id="rId5"/>
    <sheet name="Reconcili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<sst xmlns="http://schemas.openxmlformats.org/spreadsheetml/2006/main" count="133" uniqueCount="95">
  <si>
    <t xml:space="preserve">Reconciliation Summary</t>
  </si>
  <si>
    <t xml:space="preserve">Payment status</t>
  </si>
  <si>
    <t xml:space="preserve">Enrollments</t>
  </si>
  <si>
    <t xml:space="preserve">PAID</t>
  </si>
  <si>
    <t xml:space="preserve">PARTIAL</t>
  </si>
  <si>
    <t xml:space="preserve">OVERPAID</t>
  </si>
  <si>
    <t xml:space="preserve">UNPAID</t>
  </si>
  <si>
    <t xml:space="preserve">Total enrollments</t>
  </si>
  <si>
    <t xml:space="preserve">Check: equals rows entered</t>
  </si>
  <si>
    <t xml:space="preserve">Money (INR)</t>
  </si>
  <si>
    <t xml:space="preserve">Amount</t>
  </si>
  <si>
    <t xml:space="preserve">Total fee due (all rows)</t>
  </si>
  <si>
    <t xml:space="preserve">Total collected (all payments)</t>
  </si>
  <si>
    <t xml:space="preserve">Balance still to collect</t>
  </si>
  <si>
    <t xml:space="preserve">Overpaid (to refund or adjust)</t>
  </si>
  <si>
    <t xml:space="preserve">Payments with no enrollment</t>
  </si>
  <si>
    <t xml:space="preserve">Data issues</t>
  </si>
  <si>
    <t xml:space="preserve">Count</t>
  </si>
  <si>
    <t xml:space="preserve">Duplicate enrollment rows</t>
  </si>
  <si>
    <t xml:space="preserve">Missing student names</t>
  </si>
  <si>
    <t xml:space="preserve">Payments with no matching enrollment</t>
  </si>
  <si>
    <t xml:space="preserve">Note: a duplicate enrollment shares one payment, so its row also shows as paid. Fix duplicates before relying on the per-row status.</t>
  </si>
  <si>
    <t xml:space="preserve">Enrollments (fictional data, typed by hand so it contains typical mistakes)</t>
  </si>
  <si>
    <t xml:space="preserve">Enrollment ID</t>
  </si>
  <si>
    <t xml:space="preserve">Student ID (as typed)</t>
  </si>
  <si>
    <t xml:space="preserve">Student Name</t>
  </si>
  <si>
    <t xml:space="preserve">Batch ID</t>
  </si>
  <si>
    <t xml:space="preserve">Fee Due (INR)</t>
  </si>
  <si>
    <t xml:space="preserve">E001</t>
  </si>
  <si>
    <t xml:space="preserve">S101</t>
  </si>
  <si>
    <t xml:space="preserve">Aarav Sharma</t>
  </si>
  <si>
    <t xml:space="preserve">B01</t>
  </si>
  <si>
    <t xml:space="preserve">E002</t>
  </si>
  <si>
    <t xml:space="preserve">s102</t>
  </si>
  <si>
    <t xml:space="preserve">Diya Patel</t>
  </si>
  <si>
    <t xml:space="preserve">E003</t>
  </si>
  <si>
    <t xml:space="preserve">S103 </t>
  </si>
  <si>
    <t xml:space="preserve">Kabir Singh</t>
  </si>
  <si>
    <t xml:space="preserve">B02</t>
  </si>
  <si>
    <t xml:space="preserve">E004</t>
  </si>
  <si>
    <t xml:space="preserve">S104</t>
  </si>
  <si>
    <t xml:space="preserve">Ishita Rao</t>
  </si>
  <si>
    <t xml:space="preserve">E005</t>
  </si>
  <si>
    <t xml:space="preserve">S105</t>
  </si>
  <si>
    <t xml:space="preserve">Rahul Verma</t>
  </si>
  <si>
    <t xml:space="preserve">B03</t>
  </si>
  <si>
    <t xml:space="preserve">E006</t>
  </si>
  <si>
    <t xml:space="preserve">S106</t>
  </si>
  <si>
    <t xml:space="preserve">Ananya Iyer</t>
  </si>
  <si>
    <t xml:space="preserve">E007</t>
  </si>
  <si>
    <t xml:space="preserve">S107</t>
  </si>
  <si>
    <t xml:space="preserve">Vihaan Gupta</t>
  </si>
  <si>
    <t xml:space="preserve">E008</t>
  </si>
  <si>
    <t xml:space="preserve">S108</t>
  </si>
  <si>
    <t xml:space="preserve">Meera Nair</t>
  </si>
  <si>
    <t xml:space="preserve">B04</t>
  </si>
  <si>
    <t xml:space="preserve">E009</t>
  </si>
  <si>
    <t xml:space="preserve">E010</t>
  </si>
  <si>
    <t xml:space="preserve">S109</t>
  </si>
  <si>
    <t xml:space="preserve">E011</t>
  </si>
  <si>
    <t xml:space="preserve">S110</t>
  </si>
  <si>
    <t xml:space="preserve">Aditya Das</t>
  </si>
  <si>
    <t xml:space="preserve">E012</t>
  </si>
  <si>
    <t xml:space="preserve">S111</t>
  </si>
  <si>
    <t xml:space="preserve">Sara Khan</t>
  </si>
  <si>
    <t xml:space="preserve">Payments (fictional data)</t>
  </si>
  <si>
    <t xml:space="preserve">Payment ID</t>
  </si>
  <si>
    <t xml:space="preserve">Amount Paid (INR)</t>
  </si>
  <si>
    <t xml:space="preserve">Mode</t>
  </si>
  <si>
    <t xml:space="preserve">Clean Key</t>
  </si>
  <si>
    <t xml:space="preserve">Match Check</t>
  </si>
  <si>
    <t xml:space="preserve">P001</t>
  </si>
  <si>
    <t xml:space="preserve">UPI</t>
  </si>
  <si>
    <t xml:space="preserve">P002</t>
  </si>
  <si>
    <t xml:space="preserve">S102</t>
  </si>
  <si>
    <t xml:space="preserve">P003</t>
  </si>
  <si>
    <t xml:space="preserve">Card</t>
  </si>
  <si>
    <t xml:space="preserve">P004</t>
  </si>
  <si>
    <t xml:space="preserve">s103</t>
  </si>
  <si>
    <t xml:space="preserve">NetBanking</t>
  </si>
  <si>
    <t xml:space="preserve">P005</t>
  </si>
  <si>
    <t xml:space="preserve">P006</t>
  </si>
  <si>
    <t xml:space="preserve">P007</t>
  </si>
  <si>
    <t xml:space="preserve">Cash</t>
  </si>
  <si>
    <t xml:space="preserve">P008</t>
  </si>
  <si>
    <t xml:space="preserve">P009</t>
  </si>
  <si>
    <t xml:space="preserve">S120</t>
  </si>
  <si>
    <t xml:space="preserve">P010</t>
  </si>
  <si>
    <t xml:space="preserve">Reconciliation: each enrollment compared with the payments received</t>
  </si>
  <si>
    <t xml:space="preserve">Clean Key = student ID and batch ID with spaces removed and capital letters, so S102 and s102 match.</t>
  </si>
  <si>
    <t xml:space="preserve">Fee Due</t>
  </si>
  <si>
    <t xml:space="preserve">Paid</t>
  </si>
  <si>
    <t xml:space="preserve">Balance</t>
  </si>
  <si>
    <t xml:space="preserve">Payment Status</t>
  </si>
  <si>
    <t xml:space="preserve">Data Check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</si>
</sst>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;\-#,##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D29"/>
        <bgColor rgb="FF333300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D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n">
        <f aca="false">COUNTIF(Reconciliation!$G$6:$G$17,A4)</f>
        <v>7</v>
      </c>
    </row>
    <row r="5" customFormat="false" ht="15" hidden="false" customHeight="false" outlineLevel="0" collapsed="false">
      <c r="A5" s="3" t="s">
        <v>4</v>
      </c>
      <c r="B5" s="3" t="n">
        <f aca="false">COUNTIF(Reconciliation!$G$6:$G$17,A5)</f>
        <v>1</v>
      </c>
    </row>
    <row r="6" customFormat="false" ht="15" hidden="false" customHeight="false" outlineLevel="0" collapsed="false">
      <c r="A6" s="3" t="s">
        <v>5</v>
      </c>
      <c r="B6" s="3" t="n">
        <f aca="false">COUNTIF(Reconciliation!$G$6:$G$17,A6)</f>
        <v>1</v>
      </c>
    </row>
    <row r="7" customFormat="false" ht="15" hidden="false" customHeight="false" outlineLevel="0" collapsed="false">
      <c r="A7" s="3" t="s">
        <v>6</v>
      </c>
      <c r="B7" s="3" t="n">
        <f aca="false">COUNTIF(Reconciliation!$G$6:$G$17,A7)</f>
        <v>3</v>
      </c>
    </row>
    <row r="8" customFormat="false" ht="15" hidden="false" customHeight="false" outlineLevel="0" collapsed="false">
      <c r="A8" s="4" t="s">
        <v>7</v>
      </c>
      <c r="B8" s="3" t="n">
        <f aca="false">SUM(B4:B7)</f>
        <v>12</v>
      </c>
    </row>
    <row r="9" customFormat="false" ht="15" hidden="false" customHeight="false" outlineLevel="0" collapsed="false">
      <c r="A9" s="4" t="s">
        <v>8</v>
      </c>
      <c r="B9" s="3" t="str">
        <f aca="false">IF(B8=COUNTA(Enrollments!$A$6:$A$17),"OK","MISMATCH")</f>
        <v>OK</v>
      </c>
    </row>
    <row r="11" customFormat="false" ht="15" hidden="false" customHeight="false" outlineLevel="0" collapsed="false">
      <c r="A11" s="2" t="s">
        <v>9</v>
      </c>
      <c r="B11" s="2" t="s">
        <v>10</v>
      </c>
    </row>
    <row r="12" customFormat="false" ht="15" hidden="false" customHeight="false" outlineLevel="0" collapsed="false">
      <c r="A12" s="3" t="s">
        <v>11</v>
      </c>
      <c r="B12" s="5" t="n">
        <f aca="false">SUM(Reconciliation!$D$6:$D$17)</f>
        <v>129000</v>
      </c>
    </row>
    <row r="13" customFormat="false" ht="15" hidden="false" customHeight="false" outlineLevel="0" collapsed="false">
      <c r="A13" s="3" t="s">
        <v>12</v>
      </c>
      <c r="B13" s="5" t="n">
        <f aca="false">SUM(Payments!$D$6:$D$15)</f>
        <v>99000</v>
      </c>
    </row>
    <row r="14" customFormat="false" ht="15" hidden="false" customHeight="false" outlineLevel="0" collapsed="false">
      <c r="A14" s="3" t="s">
        <v>13</v>
      </c>
      <c r="B14" s="5" t="n">
        <f aca="false">SUMIF(Reconciliation!$F$6:$F$17,"&gt;0")</f>
        <v>27000</v>
      </c>
    </row>
    <row r="15" customFormat="false" ht="15" hidden="false" customHeight="false" outlineLevel="0" collapsed="false">
      <c r="A15" s="3" t="s">
        <v>14</v>
      </c>
      <c r="B15" s="5" t="n">
        <f aca="false">-SUMIF(Reconciliation!$F$6:$F$17,"&lt;0")</f>
        <v>1000</v>
      </c>
    </row>
    <row r="16" customFormat="false" ht="15" hidden="false" customHeight="false" outlineLevel="0" collapsed="false">
      <c r="A16" s="3" t="s">
        <v>15</v>
      </c>
      <c r="B16" s="5" t="n">
        <f aca="false">SUMIF(Payments!$G$6:$G$15,"NO ENROLLMENT",Payments!$D$6:$D$15)</f>
        <v>8000</v>
      </c>
    </row>
    <row r="18" customFormat="false" ht="15" hidden="false" customHeight="false" outlineLevel="0" collapsed="false">
      <c r="A18" s="2" t="s">
        <v>16</v>
      </c>
      <c r="B18" s="2" t="s">
        <v>17</v>
      </c>
    </row>
    <row r="19" customFormat="false" ht="15" hidden="false" customHeight="false" outlineLevel="0" collapsed="false">
      <c r="A19" s="3" t="s">
        <v>18</v>
      </c>
      <c r="B19" s="3" t="n">
        <f aca="false">COUNTIF(Reconciliation!$H$6:$H$17,"DUPLICATE ENROLLMENT")</f>
        <v>2</v>
      </c>
    </row>
    <row r="20" customFormat="false" ht="15" hidden="false" customHeight="false" outlineLevel="0" collapsed="false">
      <c r="A20" s="3" t="s">
        <v>19</v>
      </c>
      <c r="B20" s="3" t="n">
        <f aca="false">COUNTIF(Reconciliation!$H$6:$H$17,"MISSING NAME")</f>
        <v>1</v>
      </c>
    </row>
    <row r="21" customFormat="false" ht="15" hidden="false" customHeight="false" outlineLevel="0" collapsed="false">
      <c r="A21" s="3" t="s">
        <v>20</v>
      </c>
      <c r="B21" s="3" t="n">
        <f aca="false">COUNTIF(Payments!$G$6:$G$15,"NO ENROLLMENT")</f>
        <v>1</v>
      </c>
    </row>
    <row r="23" customFormat="false" ht="15" hidden="false" customHeight="false" outlineLevel="0" collapsed="false">
      <c r="A23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7" t="s">
        <v>22</v>
      </c>
    </row>
    <row r="5" customFormat="false" ht="26.8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</row>
    <row r="6" customFormat="false" ht="15" hidden="false" customHeight="false" outlineLevel="0" collapsed="false">
      <c r="A6" s="8" t="s">
        <v>28</v>
      </c>
      <c r="B6" s="8" t="s">
        <v>29</v>
      </c>
      <c r="C6" s="8" t="s">
        <v>30</v>
      </c>
      <c r="D6" s="8" t="s">
        <v>31</v>
      </c>
      <c r="E6" s="9" t="n">
        <v>12000</v>
      </c>
    </row>
    <row r="7" customFormat="false" ht="15" hidden="false" customHeight="false" outlineLevel="0" collapsed="false">
      <c r="A7" s="8" t="s">
        <v>32</v>
      </c>
      <c r="B7" s="8" t="s">
        <v>33</v>
      </c>
      <c r="C7" s="8" t="s">
        <v>34</v>
      </c>
      <c r="D7" s="8" t="s">
        <v>31</v>
      </c>
      <c r="E7" s="9" t="n">
        <v>12000</v>
      </c>
    </row>
    <row r="8" customFormat="false" ht="15" hidden="false" customHeight="false" outlineLevel="0" collapsed="false">
      <c r="A8" s="8" t="s">
        <v>35</v>
      </c>
      <c r="B8" s="8" t="s">
        <v>36</v>
      </c>
      <c r="C8" s="8" t="s">
        <v>37</v>
      </c>
      <c r="D8" s="8" t="s">
        <v>38</v>
      </c>
      <c r="E8" s="9" t="n">
        <v>8000</v>
      </c>
    </row>
    <row r="9" customFormat="false" ht="15" hidden="false" customHeight="false" outlineLevel="0" collapsed="false">
      <c r="A9" s="8" t="s">
        <v>39</v>
      </c>
      <c r="B9" s="8" t="s">
        <v>40</v>
      </c>
      <c r="C9" s="8" t="s">
        <v>41</v>
      </c>
      <c r="D9" s="8" t="s">
        <v>38</v>
      </c>
      <c r="E9" s="9" t="n">
        <v>8000</v>
      </c>
    </row>
    <row r="10" customFormat="false" ht="15" hidden="false" customHeight="false" outlineLevel="0" collapsed="false">
      <c r="A10" s="8" t="s">
        <v>42</v>
      </c>
      <c r="B10" s="8" t="s">
        <v>43</v>
      </c>
      <c r="C10" s="8" t="s">
        <v>44</v>
      </c>
      <c r="D10" s="8" t="s">
        <v>45</v>
      </c>
      <c r="E10" s="9" t="n">
        <v>15000</v>
      </c>
    </row>
    <row r="11" customFormat="false" ht="15" hidden="false" customHeight="false" outlineLevel="0" collapsed="false">
      <c r="A11" s="8" t="s">
        <v>46</v>
      </c>
      <c r="B11" s="8" t="s">
        <v>47</v>
      </c>
      <c r="C11" s="8" t="s">
        <v>48</v>
      </c>
      <c r="D11" s="8" t="s">
        <v>45</v>
      </c>
      <c r="E11" s="9" t="n">
        <v>15000</v>
      </c>
    </row>
    <row r="12" customFormat="false" ht="15" hidden="false" customHeight="false" outlineLevel="0" collapsed="false">
      <c r="A12" s="8" t="s">
        <v>49</v>
      </c>
      <c r="B12" s="8" t="s">
        <v>50</v>
      </c>
      <c r="C12" s="8" t="s">
        <v>51</v>
      </c>
      <c r="D12" s="8" t="s">
        <v>31</v>
      </c>
      <c r="E12" s="9" t="n">
        <v>12000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55</v>
      </c>
      <c r="E13" s="9" t="n">
        <v>6000</v>
      </c>
    </row>
    <row r="14" customFormat="false" ht="15" hidden="false" customHeight="false" outlineLevel="0" collapsed="false">
      <c r="A14" s="8" t="s">
        <v>56</v>
      </c>
      <c r="B14" s="8" t="s">
        <v>29</v>
      </c>
      <c r="C14" s="8" t="s">
        <v>30</v>
      </c>
      <c r="D14" s="8" t="s">
        <v>31</v>
      </c>
      <c r="E14" s="9" t="n">
        <v>12000</v>
      </c>
    </row>
    <row r="15" customFormat="false" ht="15" hidden="false" customHeight="false" outlineLevel="0" collapsed="false">
      <c r="A15" s="8" t="s">
        <v>57</v>
      </c>
      <c r="B15" s="8" t="s">
        <v>58</v>
      </c>
      <c r="C15" s="8"/>
      <c r="D15" s="8" t="s">
        <v>38</v>
      </c>
      <c r="E15" s="9" t="n">
        <v>8000</v>
      </c>
    </row>
    <row r="16" customFormat="false" ht="15" hidden="false" customHeight="false" outlineLevel="0" collapsed="false">
      <c r="A16" s="8" t="s">
        <v>59</v>
      </c>
      <c r="B16" s="8" t="s">
        <v>60</v>
      </c>
      <c r="C16" s="8" t="s">
        <v>61</v>
      </c>
      <c r="D16" s="8" t="s">
        <v>55</v>
      </c>
      <c r="E16" s="9" t="n">
        <v>6000</v>
      </c>
    </row>
    <row r="17" customFormat="false" ht="15" hidden="false" customHeight="false" outlineLevel="0" collapsed="false">
      <c r="A17" s="8" t="s">
        <v>62</v>
      </c>
      <c r="B17" s="8" t="s">
        <v>63</v>
      </c>
      <c r="C17" s="8" t="s">
        <v>64</v>
      </c>
      <c r="D17" s="8" t="s">
        <v>45</v>
      </c>
      <c r="E17" s="9" t="n"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7" t="s">
        <v>65</v>
      </c>
    </row>
    <row r="5" customFormat="false" ht="26.85" hidden="false" customHeight="false" outlineLevel="0" collapsed="false">
      <c r="A5" s="2" t="s">
        <v>66</v>
      </c>
      <c r="B5" s="2" t="s">
        <v>24</v>
      </c>
      <c r="C5" s="2" t="s">
        <v>26</v>
      </c>
      <c r="D5" s="2" t="s">
        <v>67</v>
      </c>
      <c r="E5" s="2" t="s">
        <v>68</v>
      </c>
      <c r="F5" s="2" t="s">
        <v>69</v>
      </c>
      <c r="G5" s="2" t="s">
        <v>70</v>
      </c>
    </row>
    <row r="6" customFormat="false" ht="15" hidden="false" customHeight="false" outlineLevel="0" collapsed="false">
      <c r="A6" s="8" t="s">
        <v>71</v>
      </c>
      <c r="B6" s="8" t="s">
        <v>29</v>
      </c>
      <c r="C6" s="8" t="s">
        <v>31</v>
      </c>
      <c r="D6" s="9" t="n">
        <v>12000</v>
      </c>
      <c r="E6" s="8" t="s">
        <v>72</v>
      </c>
      <c r="F6" s="3" t="str">
        <f aca="false">UPPER(TRIM(B6))&amp;"|"&amp;UPPER(TRIM(C6))</f>
        <v>S101|B01</v>
      </c>
      <c r="G6" s="3" t="str">
        <f aca="false">IF(COUNTIF(Reconciliation!$B$6:$B$17,F6)=0,"NO ENROLLMENT","OK")</f>
        <v>OK</v>
      </c>
    </row>
    <row r="7" customFormat="false" ht="15" hidden="false" customHeight="false" outlineLevel="0" collapsed="false">
      <c r="A7" s="8" t="s">
        <v>73</v>
      </c>
      <c r="B7" s="8" t="s">
        <v>74</v>
      </c>
      <c r="C7" s="8" t="s">
        <v>31</v>
      </c>
      <c r="D7" s="9" t="n">
        <v>6000</v>
      </c>
      <c r="E7" s="8" t="s">
        <v>72</v>
      </c>
      <c r="F7" s="3" t="str">
        <f aca="false">UPPER(TRIM(B7))&amp;"|"&amp;UPPER(TRIM(C7))</f>
        <v>S102|B01</v>
      </c>
      <c r="G7" s="3" t="str">
        <f aca="false">IF(COUNTIF(Reconciliation!$B$6:$B$17,F7)=0,"NO ENROLLMENT","OK")</f>
        <v>OK</v>
      </c>
    </row>
    <row r="8" customFormat="false" ht="15" hidden="false" customHeight="false" outlineLevel="0" collapsed="false">
      <c r="A8" s="8" t="s">
        <v>75</v>
      </c>
      <c r="B8" s="8" t="s">
        <v>74</v>
      </c>
      <c r="C8" s="8" t="s">
        <v>31</v>
      </c>
      <c r="D8" s="9" t="n">
        <v>6000</v>
      </c>
      <c r="E8" s="8" t="s">
        <v>76</v>
      </c>
      <c r="F8" s="3" t="str">
        <f aca="false">UPPER(TRIM(B8))&amp;"|"&amp;UPPER(TRIM(C8))</f>
        <v>S102|B01</v>
      </c>
      <c r="G8" s="3" t="str">
        <f aca="false">IF(COUNTIF(Reconciliation!$B$6:$B$17,F8)=0,"NO ENROLLMENT","OK")</f>
        <v>OK</v>
      </c>
    </row>
    <row r="9" customFormat="false" ht="15" hidden="false" customHeight="false" outlineLevel="0" collapsed="false">
      <c r="A9" s="8" t="s">
        <v>77</v>
      </c>
      <c r="B9" s="8" t="s">
        <v>78</v>
      </c>
      <c r="C9" s="8" t="s">
        <v>38</v>
      </c>
      <c r="D9" s="9" t="n">
        <v>8000</v>
      </c>
      <c r="E9" s="8" t="s">
        <v>79</v>
      </c>
      <c r="F9" s="3" t="str">
        <f aca="false">UPPER(TRIM(B9))&amp;"|"&amp;UPPER(TRIM(C9))</f>
        <v>S103|B02</v>
      </c>
      <c r="G9" s="3" t="str">
        <f aca="false">IF(COUNTIF(Reconciliation!$B$6:$B$17,F9)=0,"NO ENROLLMENT","OK")</f>
        <v>OK</v>
      </c>
    </row>
    <row r="10" customFormat="false" ht="15" hidden="false" customHeight="false" outlineLevel="0" collapsed="false">
      <c r="A10" s="8" t="s">
        <v>80</v>
      </c>
      <c r="B10" s="8" t="s">
        <v>43</v>
      </c>
      <c r="C10" s="8" t="s">
        <v>45</v>
      </c>
      <c r="D10" s="9" t="n">
        <v>10000</v>
      </c>
      <c r="E10" s="8" t="s">
        <v>72</v>
      </c>
      <c r="F10" s="3" t="str">
        <f aca="false">UPPER(TRIM(B10))&amp;"|"&amp;UPPER(TRIM(C10))</f>
        <v>S105|B03</v>
      </c>
      <c r="G10" s="3" t="str">
        <f aca="false">IF(COUNTIF(Reconciliation!$B$6:$B$17,F10)=0,"NO ENROLLMENT","OK")</f>
        <v>OK</v>
      </c>
    </row>
    <row r="11" customFormat="false" ht="15" hidden="false" customHeight="false" outlineLevel="0" collapsed="false">
      <c r="A11" s="8" t="s">
        <v>81</v>
      </c>
      <c r="B11" s="8" t="s">
        <v>47</v>
      </c>
      <c r="C11" s="8" t="s">
        <v>45</v>
      </c>
      <c r="D11" s="9" t="n">
        <v>16000</v>
      </c>
      <c r="E11" s="8" t="s">
        <v>72</v>
      </c>
      <c r="F11" s="3" t="str">
        <f aca="false">UPPER(TRIM(B11))&amp;"|"&amp;UPPER(TRIM(C11))</f>
        <v>S106|B03</v>
      </c>
      <c r="G11" s="3" t="str">
        <f aca="false">IF(COUNTIF(Reconciliation!$B$6:$B$17,F11)=0,"NO ENROLLMENT","OK")</f>
        <v>OK</v>
      </c>
    </row>
    <row r="12" customFormat="false" ht="15" hidden="false" customHeight="false" outlineLevel="0" collapsed="false">
      <c r="A12" s="8" t="s">
        <v>82</v>
      </c>
      <c r="B12" s="8" t="s">
        <v>50</v>
      </c>
      <c r="C12" s="8" t="s">
        <v>31</v>
      </c>
      <c r="D12" s="9" t="n">
        <v>12000</v>
      </c>
      <c r="E12" s="8" t="s">
        <v>83</v>
      </c>
      <c r="F12" s="3" t="str">
        <f aca="false">UPPER(TRIM(B12))&amp;"|"&amp;UPPER(TRIM(C12))</f>
        <v>S107|B01</v>
      </c>
      <c r="G12" s="3" t="str">
        <f aca="false">IF(COUNTIF(Reconciliation!$B$6:$B$17,F12)=0,"NO ENROLLMENT","OK")</f>
        <v>OK</v>
      </c>
    </row>
    <row r="13" customFormat="false" ht="15" hidden="false" customHeight="false" outlineLevel="0" collapsed="false">
      <c r="A13" s="8" t="s">
        <v>84</v>
      </c>
      <c r="B13" s="8" t="s">
        <v>53</v>
      </c>
      <c r="C13" s="8" t="s">
        <v>55</v>
      </c>
      <c r="D13" s="9" t="n">
        <v>6000</v>
      </c>
      <c r="E13" s="8" t="s">
        <v>72</v>
      </c>
      <c r="F13" s="3" t="str">
        <f aca="false">UPPER(TRIM(B13))&amp;"|"&amp;UPPER(TRIM(C13))</f>
        <v>S108|B04</v>
      </c>
      <c r="G13" s="3" t="str">
        <f aca="false">IF(COUNTIF(Reconciliation!$B$6:$B$17,F13)=0,"NO ENROLLMENT","OK")</f>
        <v>OK</v>
      </c>
    </row>
    <row r="14" customFormat="false" ht="15" hidden="false" customHeight="false" outlineLevel="0" collapsed="false">
      <c r="A14" s="8" t="s">
        <v>85</v>
      </c>
      <c r="B14" s="8" t="s">
        <v>86</v>
      </c>
      <c r="C14" s="8" t="s">
        <v>38</v>
      </c>
      <c r="D14" s="9" t="n">
        <v>8000</v>
      </c>
      <c r="E14" s="8" t="s">
        <v>72</v>
      </c>
      <c r="F14" s="3" t="str">
        <f aca="false">UPPER(TRIM(B14))&amp;"|"&amp;UPPER(TRIM(C14))</f>
        <v>S120|B02</v>
      </c>
      <c r="G14" s="3" t="str">
        <f aca="false">IF(COUNTIF(Reconciliation!$B$6:$B$17,F14)=0,"NO ENROLLMENT","OK")</f>
        <v>NO ENROLLMENT</v>
      </c>
    </row>
    <row r="15" customFormat="false" ht="15" hidden="false" customHeight="false" outlineLevel="0" collapsed="false">
      <c r="A15" s="8" t="s">
        <v>87</v>
      </c>
      <c r="B15" s="8" t="s">
        <v>63</v>
      </c>
      <c r="C15" s="8" t="s">
        <v>45</v>
      </c>
      <c r="D15" s="9" t="n">
        <v>15000</v>
      </c>
      <c r="E15" s="8" t="s">
        <v>76</v>
      </c>
      <c r="F15" s="3" t="str">
        <f aca="false">UPPER(TRIM(B15))&amp;"|"&amp;UPPER(TRIM(C15))</f>
        <v>S111|B03</v>
      </c>
      <c r="G15" s="3" t="str">
        <f aca="false">IF(COUNTIF(Reconciliation!$B$6:$B$17,F15)=0,"NO ENROLLMENT","OK")</f>
        <v>OK</v>
      </c>
    </row>
  </sheetData>
  <conditionalFormatting sqref="G6:G15">
    <cfRule type="expression" priority="2" aboveAverage="0" equalAverage="0" bottom="0" percent="0" rank="0" text="" dxfId="0">
      <formula>G6="NO ENROLLMENT"</formula>
    </cfRule>
  </conditionalFormatting>
  <dataValidations count="1">
    <dataValidation allowBlank="false" error="Pick UPI, Card, NetBanking or Cash" errorStyle="stop" errorTitle="Invalid mode" operator="between" showDropDown="false" showErrorMessage="true" showInputMessage="false" sqref="E6:E15" type="list">
      <formula1>"UPI,Card,NetBanking,Cash"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6"/>
    <col collapsed="false" customWidth="true" hidden="false" outlineLevel="0" max="8" min="8" style="0" width="24"/>
  </cols>
  <sheetData>
    <row r="1" customFormat="false" ht="16.15" hidden="false" customHeight="false" outlineLevel="0" collapsed="false">
      <c r="A1" s="7" t="s">
        <v>88</v>
      </c>
    </row>
    <row r="2" customFormat="false" ht="15" hidden="false" customHeight="false" outlineLevel="0" collapsed="false">
      <c r="A2" s="6" t="s">
        <v>89</v>
      </c>
    </row>
    <row r="5" customFormat="false" ht="26.85" hidden="false" customHeight="false" outlineLevel="0" collapsed="false">
      <c r="A5" s="2" t="s">
        <v>23</v>
      </c>
      <c r="B5" s="2" t="s">
        <v>69</v>
      </c>
      <c r="C5" s="2" t="s">
        <v>25</v>
      </c>
      <c r="D5" s="2" t="s">
        <v>90</v>
      </c>
      <c r="E5" s="2" t="s">
        <v>91</v>
      </c>
      <c r="F5" s="2" t="s">
        <v>92</v>
      </c>
      <c r="G5" s="2" t="s">
        <v>93</v>
      </c>
      <c r="H5" s="2" t="s">
        <v>94</v>
      </c>
    </row>
    <row r="6" customFormat="false" ht="15" hidden="false" customHeight="false" outlineLevel="0" collapsed="false">
      <c r="A6" s="3" t="str">
        <f aca="false">Enrollments!A6</f>
        <v>E001</v>
      </c>
      <c r="B6" s="3" t="str">
        <f aca="false">UPPER(TRIM(Enrollments!B6))&amp;"|"&amp;UPPER(TRIM(Enrollments!D6))</f>
        <v>S101|B01</v>
      </c>
      <c r="C6" s="3" t="str">
        <f aca="false">Enrollments!C6&amp;""</f>
        <v>Aarav Sharma</v>
      </c>
      <c r="D6" s="5" t="n">
        <f aca="false">Enrollments!E6</f>
        <v>12000</v>
      </c>
      <c r="E6" s="5" t="n">
        <f aca="false">SUMIF(Payments!$F$6:$F$15,B6,Payments!$D$6:$D$15)</f>
        <v>12000</v>
      </c>
      <c r="F6" s="10" t="n">
        <f aca="false">D6-E6</f>
        <v>0</v>
      </c>
      <c r="G6" s="3" t="str">
        <f aca="false">IF(E6=0,"UNPAID",IF(E6&lt;D6,"PARTIAL",IF(E6=D6,"PAID","OVERPAID")))</f>
        <v>PAID</v>
      </c>
      <c r="H6" s="3" t="str">
        <f aca="false">IF(COUNTIF($B$6:$B$17,B6)&gt;1,"DUPLICATE ENROLLMENT",IF(TRIM(C6)="","MISSING NAME","OK"))</f>
        <v>DUPLICATE ENROLLMENT</v>
      </c>
    </row>
    <row r="7" customFormat="false" ht="15" hidden="false" customHeight="false" outlineLevel="0" collapsed="false">
      <c r="A7" s="3" t="str">
        <f aca="false">Enrollments!A7</f>
        <v>E002</v>
      </c>
      <c r="B7" s="3" t="str">
        <f aca="false">UPPER(TRIM(Enrollments!B7))&amp;"|"&amp;UPPER(TRIM(Enrollments!D7))</f>
        <v>S102|B01</v>
      </c>
      <c r="C7" s="3" t="str">
        <f aca="false">Enrollments!C7&amp;""</f>
        <v>Diya Patel</v>
      </c>
      <c r="D7" s="5" t="n">
        <f aca="false">Enrollments!E7</f>
        <v>12000</v>
      </c>
      <c r="E7" s="5" t="n">
        <f aca="false">SUMIF(Payments!$F$6:$F$15,B7,Payments!$D$6:$D$15)</f>
        <v>12000</v>
      </c>
      <c r="F7" s="10" t="n">
        <f aca="false">D7-E7</f>
        <v>0</v>
      </c>
      <c r="G7" s="3" t="str">
        <f aca="false">IF(E7=0,"UNPAID",IF(E7&lt;D7,"PARTIAL",IF(E7=D7,"PAID","OVERPAID")))</f>
        <v>PAID</v>
      </c>
      <c r="H7" s="3" t="str">
        <f aca="false">IF(COUNTIF($B$6:$B$17,B7)&gt;1,"DUPLICATE ENROLLMENT",IF(TRIM(C7)="","MISSING NAME","OK"))</f>
        <v>OK</v>
      </c>
    </row>
    <row r="8" customFormat="false" ht="15" hidden="false" customHeight="false" outlineLevel="0" collapsed="false">
      <c r="A8" s="3" t="str">
        <f aca="false">Enrollments!A8</f>
        <v>E003</v>
      </c>
      <c r="B8" s="3" t="str">
        <f aca="false">UPPER(TRIM(Enrollments!B8))&amp;"|"&amp;UPPER(TRIM(Enrollments!D8))</f>
        <v>S103|B02</v>
      </c>
      <c r="C8" s="3" t="str">
        <f aca="false">Enrollments!C8&amp;""</f>
        <v>Kabir Singh</v>
      </c>
      <c r="D8" s="5" t="n">
        <f aca="false">Enrollments!E8</f>
        <v>8000</v>
      </c>
      <c r="E8" s="5" t="n">
        <f aca="false">SUMIF(Payments!$F$6:$F$15,B8,Payments!$D$6:$D$15)</f>
        <v>8000</v>
      </c>
      <c r="F8" s="10" t="n">
        <f aca="false">D8-E8</f>
        <v>0</v>
      </c>
      <c r="G8" s="3" t="str">
        <f aca="false">IF(E8=0,"UNPAID",IF(E8&lt;D8,"PARTIAL",IF(E8=D8,"PAID","OVERPAID")))</f>
        <v>PAID</v>
      </c>
      <c r="H8" s="3" t="str">
        <f aca="false">IF(COUNTIF($B$6:$B$17,B8)&gt;1,"DUPLICATE ENROLLMENT",IF(TRIM(C8)="","MISSING NAME","OK"))</f>
        <v>OK</v>
      </c>
    </row>
    <row r="9" customFormat="false" ht="15" hidden="false" customHeight="false" outlineLevel="0" collapsed="false">
      <c r="A9" s="3" t="str">
        <f aca="false">Enrollments!A9</f>
        <v>E004</v>
      </c>
      <c r="B9" s="3" t="str">
        <f aca="false">UPPER(TRIM(Enrollments!B9))&amp;"|"&amp;UPPER(TRIM(Enrollments!D9))</f>
        <v>S104|B02</v>
      </c>
      <c r="C9" s="3" t="str">
        <f aca="false">Enrollments!C9&amp;""</f>
        <v>Ishita Rao</v>
      </c>
      <c r="D9" s="5" t="n">
        <f aca="false">Enrollments!E9</f>
        <v>8000</v>
      </c>
      <c r="E9" s="5" t="n">
        <f aca="false">SUMIF(Payments!$F$6:$F$15,B9,Payments!$D$6:$D$15)</f>
        <v>0</v>
      </c>
      <c r="F9" s="10" t="n">
        <f aca="false">D9-E9</f>
        <v>8000</v>
      </c>
      <c r="G9" s="3" t="str">
        <f aca="false">IF(E9=0,"UNPAID",IF(E9&lt;D9,"PARTIAL",IF(E9=D9,"PAID","OVERPAID")))</f>
        <v>UNPAID</v>
      </c>
      <c r="H9" s="3" t="str">
        <f aca="false">IF(COUNTIF($B$6:$B$17,B9)&gt;1,"DUPLICATE ENROLLMENT",IF(TRIM(C9)="","MISSING NAME","OK"))</f>
        <v>OK</v>
      </c>
    </row>
    <row r="10" customFormat="false" ht="15" hidden="false" customHeight="false" outlineLevel="0" collapsed="false">
      <c r="A10" s="3" t="str">
        <f aca="false">Enrollments!A10</f>
        <v>E005</v>
      </c>
      <c r="B10" s="3" t="str">
        <f aca="false">UPPER(TRIM(Enrollments!B10))&amp;"|"&amp;UPPER(TRIM(Enrollments!D10))</f>
        <v>S105|B03</v>
      </c>
      <c r="C10" s="3" t="str">
        <f aca="false">Enrollments!C10&amp;""</f>
        <v>Rahul Verma</v>
      </c>
      <c r="D10" s="5" t="n">
        <f aca="false">Enrollments!E10</f>
        <v>15000</v>
      </c>
      <c r="E10" s="5" t="n">
        <f aca="false">SUMIF(Payments!$F$6:$F$15,B10,Payments!$D$6:$D$15)</f>
        <v>10000</v>
      </c>
      <c r="F10" s="10" t="n">
        <f aca="false">D10-E10</f>
        <v>5000</v>
      </c>
      <c r="G10" s="3" t="str">
        <f aca="false">IF(E10=0,"UNPAID",IF(E10&lt;D10,"PARTIAL",IF(E10=D10,"PAID","OVERPAID")))</f>
        <v>PARTIAL</v>
      </c>
      <c r="H10" s="3" t="str">
        <f aca="false">IF(COUNTIF($B$6:$B$17,B10)&gt;1,"DUPLICATE ENROLLMENT",IF(TRIM(C10)="","MISSING NAME","OK"))</f>
        <v>OK</v>
      </c>
    </row>
    <row r="11" customFormat="false" ht="15" hidden="false" customHeight="false" outlineLevel="0" collapsed="false">
      <c r="A11" s="3" t="str">
        <f aca="false">Enrollments!A11</f>
        <v>E006</v>
      </c>
      <c r="B11" s="3" t="str">
        <f aca="false">UPPER(TRIM(Enrollments!B11))&amp;"|"&amp;UPPER(TRIM(Enrollments!D11))</f>
        <v>S106|B03</v>
      </c>
      <c r="C11" s="3" t="str">
        <f aca="false">Enrollments!C11&amp;""</f>
        <v>Ananya Iyer</v>
      </c>
      <c r="D11" s="5" t="n">
        <f aca="false">Enrollments!E11</f>
        <v>15000</v>
      </c>
      <c r="E11" s="5" t="n">
        <f aca="false">SUMIF(Payments!$F$6:$F$15,B11,Payments!$D$6:$D$15)</f>
        <v>16000</v>
      </c>
      <c r="F11" s="10" t="n">
        <f aca="false">D11-E11</f>
        <v>-1000</v>
      </c>
      <c r="G11" s="3" t="str">
        <f aca="false">IF(E11=0,"UNPAID",IF(E11&lt;D11,"PARTIAL",IF(E11=D11,"PAID","OVERPAID")))</f>
        <v>OVERPAID</v>
      </c>
      <c r="H11" s="3" t="str">
        <f aca="false">IF(COUNTIF($B$6:$B$17,B11)&gt;1,"DUPLICATE ENROLLMENT",IF(TRIM(C11)="","MISSING NAME","OK"))</f>
        <v>OK</v>
      </c>
    </row>
    <row r="12" customFormat="false" ht="15" hidden="false" customHeight="false" outlineLevel="0" collapsed="false">
      <c r="A12" s="3" t="str">
        <f aca="false">Enrollments!A12</f>
        <v>E007</v>
      </c>
      <c r="B12" s="3" t="str">
        <f aca="false">UPPER(TRIM(Enrollments!B12))&amp;"|"&amp;UPPER(TRIM(Enrollments!D12))</f>
        <v>S107|B01</v>
      </c>
      <c r="C12" s="3" t="str">
        <f aca="false">Enrollments!C12&amp;""</f>
        <v>Vihaan Gupta</v>
      </c>
      <c r="D12" s="5" t="n">
        <f aca="false">Enrollments!E12</f>
        <v>12000</v>
      </c>
      <c r="E12" s="5" t="n">
        <f aca="false">SUMIF(Payments!$F$6:$F$15,B12,Payments!$D$6:$D$15)</f>
        <v>12000</v>
      </c>
      <c r="F12" s="10" t="n">
        <f aca="false">D12-E12</f>
        <v>0</v>
      </c>
      <c r="G12" s="3" t="str">
        <f aca="false">IF(E12=0,"UNPAID",IF(E12&lt;D12,"PARTIAL",IF(E12=D12,"PAID","OVERPAID")))</f>
        <v>PAID</v>
      </c>
      <c r="H12" s="3" t="str">
        <f aca="false">IF(COUNTIF($B$6:$B$17,B12)&gt;1,"DUPLICATE ENROLLMENT",IF(TRIM(C12)="","MISSING NAME","OK"))</f>
        <v>OK</v>
      </c>
    </row>
    <row r="13" customFormat="false" ht="15" hidden="false" customHeight="false" outlineLevel="0" collapsed="false">
      <c r="A13" s="3" t="str">
        <f aca="false">Enrollments!A13</f>
        <v>E008</v>
      </c>
      <c r="B13" s="3" t="str">
        <f aca="false">UPPER(TRIM(Enrollments!B13))&amp;"|"&amp;UPPER(TRIM(Enrollments!D13))</f>
        <v>S108|B04</v>
      </c>
      <c r="C13" s="3" t="str">
        <f aca="false">Enrollments!C13&amp;""</f>
        <v>Meera Nair</v>
      </c>
      <c r="D13" s="5" t="n">
        <f aca="false">Enrollments!E13</f>
        <v>6000</v>
      </c>
      <c r="E13" s="5" t="n">
        <f aca="false">SUMIF(Payments!$F$6:$F$15,B13,Payments!$D$6:$D$15)</f>
        <v>6000</v>
      </c>
      <c r="F13" s="10" t="n">
        <f aca="false">D13-E13</f>
        <v>0</v>
      </c>
      <c r="G13" s="3" t="str">
        <f aca="false">IF(E13=0,"UNPAID",IF(E13&lt;D13,"PARTIAL",IF(E13=D13,"PAID","OVERPAID")))</f>
        <v>PAID</v>
      </c>
      <c r="H13" s="3" t="str">
        <f aca="false">IF(COUNTIF($B$6:$B$17,B13)&gt;1,"DUPLICATE ENROLLMENT",IF(TRIM(C13)="","MISSING NAME","OK"))</f>
        <v>OK</v>
      </c>
    </row>
    <row r="14" customFormat="false" ht="15" hidden="false" customHeight="false" outlineLevel="0" collapsed="false">
      <c r="A14" s="3" t="str">
        <f aca="false">Enrollments!A14</f>
        <v>E009</v>
      </c>
      <c r="B14" s="3" t="str">
        <f aca="false">UPPER(TRIM(Enrollments!B14))&amp;"|"&amp;UPPER(TRIM(Enrollments!D14))</f>
        <v>S101|B01</v>
      </c>
      <c r="C14" s="3" t="str">
        <f aca="false">Enrollments!C14&amp;""</f>
        <v>Aarav Sharma</v>
      </c>
      <c r="D14" s="5" t="n">
        <f aca="false">Enrollments!E14</f>
        <v>12000</v>
      </c>
      <c r="E14" s="5" t="n">
        <f aca="false">SUMIF(Payments!$F$6:$F$15,B14,Payments!$D$6:$D$15)</f>
        <v>12000</v>
      </c>
      <c r="F14" s="10" t="n">
        <f aca="false">D14-E14</f>
        <v>0</v>
      </c>
      <c r="G14" s="3" t="str">
        <f aca="false">IF(E14=0,"UNPAID",IF(E14&lt;D14,"PARTIAL",IF(E14=D14,"PAID","OVERPAID")))</f>
        <v>PAID</v>
      </c>
      <c r="H14" s="3" t="str">
        <f aca="false">IF(COUNTIF($B$6:$B$17,B14)&gt;1,"DUPLICATE ENROLLMENT",IF(TRIM(C14)="","MISSING NAME","OK"))</f>
        <v>DUPLICATE ENROLLMENT</v>
      </c>
    </row>
    <row r="15" customFormat="false" ht="15" hidden="false" customHeight="false" outlineLevel="0" collapsed="false">
      <c r="A15" s="3" t="str">
        <f aca="false">Enrollments!A15</f>
        <v>E010</v>
      </c>
      <c r="B15" s="3" t="str">
        <f aca="false">UPPER(TRIM(Enrollments!B15))&amp;"|"&amp;UPPER(TRIM(Enrollments!D15))</f>
        <v>S109|B02</v>
      </c>
      <c r="C15" s="3" t="str">
        <f aca="false">Enrollments!C15&amp;""</f>
        <v/>
      </c>
      <c r="D15" s="5" t="n">
        <f aca="false">Enrollments!E15</f>
        <v>8000</v>
      </c>
      <c r="E15" s="5" t="n">
        <f aca="false">SUMIF(Payments!$F$6:$F$15,B15,Payments!$D$6:$D$15)</f>
        <v>0</v>
      </c>
      <c r="F15" s="10" t="n">
        <f aca="false">D15-E15</f>
        <v>8000</v>
      </c>
      <c r="G15" s="3" t="str">
        <f aca="false">IF(E15=0,"UNPAID",IF(E15&lt;D15,"PARTIAL",IF(E15=D15,"PAID","OVERPAID")))</f>
        <v>UNPAID</v>
      </c>
      <c r="H15" s="3" t="str">
        <f aca="false">IF(COUNTIF($B$6:$B$17,B15)&gt;1,"DUPLICATE ENROLLMENT",IF(TRIM(C15)="","MISSING NAME","OK"))</f>
        <v>MISSING NAME</v>
      </c>
    </row>
    <row r="16" customFormat="false" ht="15" hidden="false" customHeight="false" outlineLevel="0" collapsed="false">
      <c r="A16" s="3" t="str">
        <f aca="false">Enrollments!A16</f>
        <v>E011</v>
      </c>
      <c r="B16" s="3" t="str">
        <f aca="false">UPPER(TRIM(Enrollments!B16))&amp;"|"&amp;UPPER(TRIM(Enrollments!D16))</f>
        <v>S110|B04</v>
      </c>
      <c r="C16" s="3" t="str">
        <f aca="false">Enrollments!C16&amp;""</f>
        <v>Aditya Das</v>
      </c>
      <c r="D16" s="5" t="n">
        <f aca="false">Enrollments!E16</f>
        <v>6000</v>
      </c>
      <c r="E16" s="5" t="n">
        <f aca="false">SUMIF(Payments!$F$6:$F$15,B16,Payments!$D$6:$D$15)</f>
        <v>0</v>
      </c>
      <c r="F16" s="10" t="n">
        <f aca="false">D16-E16</f>
        <v>6000</v>
      </c>
      <c r="G16" s="3" t="str">
        <f aca="false">IF(E16=0,"UNPAID",IF(E16&lt;D16,"PARTIAL",IF(E16=D16,"PAID","OVERPAID")))</f>
        <v>UNPAID</v>
      </c>
      <c r="H16" s="3" t="str">
        <f aca="false">IF(COUNTIF($B$6:$B$17,B16)&gt;1,"DUPLICATE ENROLLMENT",IF(TRIM(C16)="","MISSING NAME","OK"))</f>
        <v>OK</v>
      </c>
    </row>
    <row r="17" customFormat="false" ht="15" hidden="false" customHeight="false" outlineLevel="0" collapsed="false">
      <c r="A17" s="3" t="str">
        <f aca="false">Enrollments!A17</f>
        <v>E012</v>
      </c>
      <c r="B17" s="3" t="str">
        <f aca="false">UPPER(TRIM(Enrollments!B17))&amp;"|"&amp;UPPER(TRIM(Enrollments!D17))</f>
        <v>S111|B03</v>
      </c>
      <c r="C17" s="3" t="str">
        <f aca="false">Enrollments!C17&amp;""</f>
        <v>Sara Khan</v>
      </c>
      <c r="D17" s="5" t="n">
        <f aca="false">Enrollments!E17</f>
        <v>15000</v>
      </c>
      <c r="E17" s="5" t="n">
        <f aca="false">SUMIF(Payments!$F$6:$F$15,B17,Payments!$D$6:$D$15)</f>
        <v>15000</v>
      </c>
      <c r="F17" s="10" t="n">
        <f aca="false">D17-E17</f>
        <v>0</v>
      </c>
      <c r="G17" s="3" t="str">
        <f aca="false">IF(E17=0,"UNPAID",IF(E17&lt;D17,"PARTIAL",IF(E17=D17,"PAID","OVERPAID")))</f>
        <v>PAID</v>
      </c>
      <c r="H17" s="3" t="str">
        <f aca="false">IF(COUNTIF($B$6:$B$17,B17)&gt;1,"DUPLICATE ENROLLMENT",IF(TRIM(C17)="","MISSING NAME","OK"))</f>
        <v>OK</v>
      </c>
    </row>
  </sheetData>
  <conditionalFormatting sqref="G6:G17">
    <cfRule type="expression" priority="2" aboveAverage="0" equalAverage="0" bottom="0" percent="0" rank="0" text="" dxfId="0">
      <formula>G6="UNPAID"</formula>
    </cfRule>
    <cfRule type="expression" priority="3" aboveAverage="0" equalAverage="0" bottom="0" percent="0" rank="0" text="" dxfId="1">
      <formula>OR(G6="PARTIAL",G6="OVERPAID")</formula>
    </cfRule>
    <cfRule type="expression" priority="4" aboveAverage="0" equalAverage="0" bottom="0" percent="0" rank="0" text="" dxfId="2">
      <formula>G6="PAID"</formula>
    </cfRule>
  </conditionalFormatting>
  <conditionalFormatting sqref="H6:H17">
    <cfRule type="expression" priority="5" aboveAverage="0" equalAverage="0" bottom="0" percent="0" rank="0" text="" dxfId="0">
      <formula>H6&lt;&gt;"OK"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2026-10-04T08:34:19Z</dcterms:created>
  <dc:creator>openpyxl</dc:creator>
  <dc:description/>
  <dc:language>en-US</dc:language>
  <cp:lastModifiedBy/>
  <dcterms:modified xsi:type="dcterms:W3CDTF">2026-10-04T08:34:19Z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